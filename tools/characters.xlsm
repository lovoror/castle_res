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Castle\res\tools\"/>
    </mc:Choice>
  </mc:AlternateContent>
  <bookViews>
    <workbookView xWindow="0" yWindow="0" windowWidth="28035" windowHeight="7440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D5" i="1" l="1"/>
  <c r="D6" i="1" l="1"/>
  <c r="D18" i="1" l="1"/>
  <c r="D16" i="1"/>
  <c r="D13" i="1" l="1"/>
  <c r="D17" i="1" l="1"/>
  <c r="D10" i="1" l="1"/>
  <c r="D23" i="1"/>
  <c r="D15" i="1" l="1"/>
  <c r="D12" i="1" l="1"/>
  <c r="D22" i="1" l="1"/>
  <c r="D72" i="1" l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11" i="1"/>
  <c r="D14" i="1"/>
  <c r="D19" i="1"/>
  <c r="D20" i="1"/>
  <c r="D21" i="1"/>
  <c r="D24" i="1"/>
  <c r="D25" i="1"/>
  <c r="D26" i="1"/>
  <c r="D27" i="1"/>
  <c r="D28" i="1"/>
  <c r="D29" i="1"/>
  <c r="D30" i="1"/>
  <c r="D31" i="1"/>
  <c r="D32" i="1"/>
  <c r="D7" i="1"/>
  <c r="D9" i="1"/>
</calcChain>
</file>

<file path=xl/sharedStrings.xml><?xml version="1.0" encoding="utf-8"?>
<sst xmlns="http://schemas.openxmlformats.org/spreadsheetml/2006/main" count="189" uniqueCount="107">
  <si>
    <t>Name</t>
  </si>
  <si>
    <t>Type</t>
  </si>
  <si>
    <t>Desc</t>
  </si>
  <si>
    <t>STR</t>
  </si>
  <si>
    <t>CON</t>
  </si>
  <si>
    <t>INT</t>
  </si>
  <si>
    <t>MEN</t>
  </si>
  <si>
    <t>HP</t>
  </si>
  <si>
    <t>MP</t>
  </si>
  <si>
    <t>ATK</t>
  </si>
  <si>
    <t>DEF</t>
  </si>
  <si>
    <t>MAT</t>
  </si>
  <si>
    <t>MDF</t>
  </si>
  <si>
    <t>SPD</t>
  </si>
  <si>
    <t>MPREC</t>
  </si>
  <si>
    <t>HPFactor</t>
  </si>
  <si>
    <t>MPFactor</t>
  </si>
  <si>
    <t>ATKFactor</t>
  </si>
  <si>
    <t>DEFFactor</t>
  </si>
  <si>
    <t>MATFactor</t>
  </si>
  <si>
    <t>MDFFactor</t>
  </si>
  <si>
    <t>MPRECFactor</t>
  </si>
  <si>
    <t>string</t>
  </si>
  <si>
    <t>helper</t>
  </si>
  <si>
    <t>int</t>
  </si>
  <si>
    <t>name</t>
  </si>
  <si>
    <t>type</t>
  </si>
  <si>
    <t>desc</t>
  </si>
  <si>
    <t>number</t>
  </si>
  <si>
    <t>number</t>
    <phoneticPr fontId="2" type="noConversion"/>
  </si>
  <si>
    <t>Elementalist</t>
    <phoneticPr fontId="2" type="noConversion"/>
  </si>
  <si>
    <t>Type</t>
    <phoneticPr fontId="2" type="noConversion"/>
  </si>
  <si>
    <t>CircularSaw</t>
    <phoneticPr fontId="2" type="noConversion"/>
  </si>
  <si>
    <t>FlameThrower</t>
    <phoneticPr fontId="2" type="noConversion"/>
  </si>
  <si>
    <t>HornBeast</t>
    <phoneticPr fontId="2" type="noConversion"/>
  </si>
  <si>
    <t>RotatingBlade</t>
    <phoneticPr fontId="2" type="noConversion"/>
  </si>
  <si>
    <t>Sickle</t>
    <phoneticPr fontId="2" type="noConversion"/>
  </si>
  <si>
    <t>Skeleton</t>
    <phoneticPr fontId="2" type="noConversion"/>
  </si>
  <si>
    <t>Slime</t>
    <phoneticPr fontId="2" type="noConversion"/>
  </si>
  <si>
    <t>SpikeTrap</t>
    <phoneticPr fontId="2" type="noConversion"/>
  </si>
  <si>
    <t>StaticSpike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</si>
  <si>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2" type="noConversion"/>
  </si>
  <si>
    <t>int</t>
    <phoneticPr fontId="2" type="noConversion"/>
  </si>
  <si>
    <t>SkullGhost</t>
    <phoneticPr fontId="2" type="noConversion"/>
  </si>
  <si>
    <t>SkeletonArcher</t>
    <phoneticPr fontId="2" type="noConversion"/>
  </si>
  <si>
    <t>Zombie</t>
    <phoneticPr fontId="2" type="noConversion"/>
  </si>
  <si>
    <t>Gargoyle</t>
    <phoneticPr fontId="2" type="noConversion"/>
  </si>
  <si>
    <t>LanceWarrior</t>
    <phoneticPr fontId="2" type="noConversion"/>
  </si>
  <si>
    <t>EvilCat</t>
    <phoneticPr fontId="2" type="noConversion"/>
  </si>
  <si>
    <t>SkeletonMage</t>
    <phoneticPr fontId="2" type="noConversion"/>
  </si>
  <si>
    <t>Battery</t>
    <phoneticPr fontId="2" type="noConversion"/>
  </si>
  <si>
    <t>LizardAxeman</t>
  </si>
  <si>
    <r>
      <t>H</t>
    </r>
    <r>
      <rPr>
        <sz val="11"/>
        <color theme="1"/>
        <rFont val="宋体"/>
        <family val="3"/>
        <charset val="134"/>
        <scheme val="minor"/>
      </rPr>
      <t>igh</t>
    </r>
    <r>
      <rPr>
        <sz val="11"/>
        <color theme="1"/>
        <rFont val="宋体"/>
        <family val="3"/>
        <charset val="134"/>
        <scheme val="minor"/>
      </rPr>
      <t>SkullGhost</t>
    </r>
    <phoneticPr fontId="2" type="noConversion"/>
  </si>
  <si>
    <t>int</t>
    <phoneticPr fontId="2" type="noConversion"/>
  </si>
  <si>
    <t>int[]</t>
    <phoneticPr fontId="2" type="noConversion"/>
  </si>
  <si>
    <t>37,38</t>
    <phoneticPr fontId="2" type="noConversion"/>
  </si>
  <si>
    <t>Res</t>
    <phoneticPr fontId="2" type="noConversion"/>
  </si>
  <si>
    <t>res</t>
    <phoneticPr fontId="2" type="noConversion"/>
  </si>
  <si>
    <t>ID</t>
    <phoneticPr fontId="2" type="noConversion"/>
  </si>
  <si>
    <t>id</t>
    <phoneticPr fontId="2" type="noConversion"/>
  </si>
  <si>
    <t>D8F7FD5D</t>
    <phoneticPr fontId="2" type="noConversion"/>
  </si>
  <si>
    <t>Rhinoceros</t>
    <phoneticPr fontId="2" type="noConversion"/>
  </si>
  <si>
    <t>LionPillar</t>
    <phoneticPr fontId="2" type="noConversion"/>
  </si>
  <si>
    <r>
      <t>E</t>
    </r>
    <r>
      <rPr>
        <sz val="11"/>
        <color theme="1"/>
        <rFont val="宋体"/>
        <family val="3"/>
        <charset val="134"/>
        <scheme val="minor"/>
      </rPr>
      <t>quipKinds</t>
    </r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</si>
  <si>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nt[]</t>
    </r>
    <phoneticPr fontId="2" type="noConversion"/>
  </si>
  <si>
    <t>equipKinds</t>
    <phoneticPr fontId="2" type="noConversion"/>
  </si>
  <si>
    <t>Slash</t>
    <phoneticPr fontId="2" type="noConversion"/>
  </si>
  <si>
    <t>Strike</t>
    <phoneticPr fontId="2" type="noConversion"/>
  </si>
  <si>
    <t>Fire</t>
    <phoneticPr fontId="2" type="noConversion"/>
  </si>
  <si>
    <t>Electricity</t>
    <phoneticPr fontId="2" type="noConversion"/>
  </si>
  <si>
    <t>Wind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</si>
  <si>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ire</t>
    </r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</si>
  <si>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ce</t>
    </r>
    <phoneticPr fontId="2" type="noConversion"/>
  </si>
  <si>
    <t>Ice</t>
    <phoneticPr fontId="2" type="noConversion"/>
  </si>
  <si>
    <r>
      <t>W</t>
    </r>
    <r>
      <rPr>
        <sz val="11"/>
        <color theme="1"/>
        <rFont val="宋体"/>
        <family val="3"/>
        <charset val="134"/>
        <scheme val="minor"/>
      </rPr>
      <t>ind</t>
    </r>
    <phoneticPr fontId="2" type="noConversion"/>
  </si>
  <si>
    <t>Holy</t>
    <phoneticPr fontId="2" type="noConversion"/>
  </si>
  <si>
    <t>Dark</t>
    <phoneticPr fontId="2" type="noConversion"/>
  </si>
  <si>
    <r>
      <t>i</t>
    </r>
    <r>
      <rPr>
        <sz val="11"/>
        <color theme="1"/>
        <rFont val="宋体"/>
        <family val="3"/>
        <charset val="134"/>
        <scheme val="minor"/>
      </rPr>
      <t>nt</t>
    </r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</si>
  <si>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9F92BA0</t>
    </r>
    <phoneticPr fontId="2" type="noConversion"/>
  </si>
  <si>
    <t>Gerald</t>
  </si>
  <si>
    <t>21,22,23,41,62,72,101</t>
    <phoneticPr fontId="2" type="noConversion"/>
  </si>
  <si>
    <t>1,2,3,4,5,21,43,44,61,71,102</t>
    <phoneticPr fontId="2" type="noConversion"/>
  </si>
  <si>
    <t>37,38</t>
    <phoneticPr fontId="2" type="noConversion"/>
  </si>
  <si>
    <r>
      <t>43</t>
    </r>
    <r>
      <rPr>
        <sz val="11"/>
        <color theme="1"/>
        <rFont val="宋体"/>
        <family val="3"/>
        <charset val="134"/>
        <scheme val="minor"/>
      </rPr>
      <t>,44</t>
    </r>
    <phoneticPr fontId="2" type="noConversion"/>
  </si>
  <si>
    <t>43,44</t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</si>
  <si>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wid</t>
    </r>
    <phoneticPr fontId="2" type="noConversion"/>
  </si>
  <si>
    <r>
      <t>d</t>
    </r>
    <r>
      <rPr>
        <sz val="11"/>
        <color theme="1"/>
        <rFont val="宋体"/>
        <family val="3"/>
        <charset val="134"/>
        <scheme val="minor"/>
      </rPr>
      <t>hsid</t>
    </r>
    <phoneticPr fontId="2" type="noConversion"/>
  </si>
  <si>
    <t>desid</t>
    <phoneticPr fontId="2" type="noConversion"/>
  </si>
  <si>
    <t>defaultWeaponItemID</t>
    <phoneticPr fontId="2" type="noConversion"/>
  </si>
  <si>
    <t>defaultHaveSkillsItemID</t>
    <phoneticPr fontId="2" type="noConversion"/>
  </si>
  <si>
    <t>defaultEquipmentSkillsItemID</t>
    <phoneticPr fontId="2" type="noConversion"/>
  </si>
  <si>
    <t>SlashDmg</t>
    <phoneticPr fontId="2" type="noConversion"/>
  </si>
  <si>
    <t>StrikeDmg</t>
    <phoneticPr fontId="2" type="noConversion"/>
  </si>
  <si>
    <t>FireDmg</t>
    <phoneticPr fontId="2" type="noConversion"/>
  </si>
  <si>
    <t>IceDmg</t>
    <phoneticPr fontId="2" type="noConversion"/>
  </si>
  <si>
    <t>WindDmg</t>
    <phoneticPr fontId="2" type="noConversion"/>
  </si>
  <si>
    <t>HolyDmg</t>
    <phoneticPr fontId="2" type="noConversion"/>
  </si>
  <si>
    <t>DarkDmg</t>
    <phoneticPr fontId="2" type="noConversion"/>
  </si>
  <si>
    <t>SlashRes</t>
    <phoneticPr fontId="2" type="noConversion"/>
  </si>
  <si>
    <t>StrikeRes</t>
    <phoneticPr fontId="2" type="noConversion"/>
  </si>
  <si>
    <t>FireRes</t>
    <phoneticPr fontId="2" type="noConversion"/>
  </si>
  <si>
    <t>IceRes</t>
    <phoneticPr fontId="2" type="noConversion"/>
  </si>
  <si>
    <t>WindRes</t>
    <phoneticPr fontId="2" type="noConversion"/>
  </si>
  <si>
    <t>HolyRes</t>
    <phoneticPr fontId="2" type="noConversion"/>
  </si>
  <si>
    <t>DarkRes</t>
    <phoneticPr fontId="2" type="noConversion"/>
  </si>
  <si>
    <t>ElecDmg</t>
    <phoneticPr fontId="2" type="noConversion"/>
  </si>
  <si>
    <t>ElecRes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</si>
</sst>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A3D8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</cellXfs>
  <cellStyles count="1">
    <cellStyle name="常规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8C8"/>
      <color rgb="FFC8FFC8"/>
      <color rgb="FFFF8080"/>
      <color rgb="FFFFC7CE"/>
      <color rgb="FFFF64CE"/>
      <color rgb="FFFFA3A3"/>
      <color rgb="FFA3D8FF"/>
      <color rgb="FFFEAAA8"/>
      <color rgb="FFFE97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U85"/>
  <sheetViews>
    <sheetView tabSelected="1" zoomScale="106" zoomScaleNormal="106" workbookViewId="0">
      <pane xSplit="3" ySplit="3" topLeftCell="Y4" activePane="bottomRight" state="frozen"/>
      <selection pane="topRight" activeCell="C1" sqref="C1"/>
      <selection pane="bottomLeft" activeCell="A4" sqref="A4"/>
      <selection pane="bottomRight" activeCell="AS19" sqref="AS19"/>
    </sheetView>
  </sheetViews>
  <sheetFormatPr defaultColWidth="9" defaultRowHeight="13.5" x14ac:dyDescent="0.15"/>
  <cols>
    <col min="1" max="1" width="17" style="1" customWidth="1"/>
    <col min="2" max="2" width="24.5" style="1" customWidth="1"/>
    <col min="3" max="3" width="19.75" style="1" customWidth="1"/>
    <col min="4" max="4" width="7.375" style="5" customWidth="1"/>
    <col min="5" max="5" width="9" style="1"/>
    <col min="6" max="6" width="12" style="1" customWidth="1"/>
    <col min="7" max="7" width="16.625" style="1" customWidth="1"/>
    <col min="8" max="8" width="9" style="9"/>
    <col min="9" max="9" width="9" style="1"/>
    <col min="10" max="10" width="9" style="8"/>
    <col min="11" max="13" width="9" style="1"/>
    <col min="14" max="14" width="9" style="6"/>
    <col min="15" max="15" width="9" style="1"/>
    <col min="16" max="16" width="9" style="7"/>
    <col min="17" max="19" width="9" style="1"/>
    <col min="20" max="20" width="10.625" style="1" customWidth="1"/>
    <col min="21" max="21" width="10" style="1" customWidth="1"/>
    <col min="22" max="22" width="11.375" style="1" customWidth="1"/>
    <col min="23" max="23" width="11.5" style="1" customWidth="1"/>
    <col min="24" max="24" width="11.375" style="1" customWidth="1"/>
    <col min="25" max="25" width="11.75" style="1" customWidth="1"/>
    <col min="26" max="26" width="13.625" style="1" customWidth="1"/>
    <col min="27" max="27" width="5.875" style="1" customWidth="1"/>
    <col min="28" max="28" width="6.75" style="13" customWidth="1"/>
    <col min="29" max="29" width="6.75" style="16" customWidth="1"/>
    <col min="30" max="30" width="7.5" style="13" customWidth="1"/>
    <col min="31" max="31" width="8.125" style="16" customWidth="1"/>
    <col min="32" max="32" width="7.125" style="13" customWidth="1"/>
    <col min="33" max="33" width="7.5" style="16" customWidth="1"/>
    <col min="34" max="34" width="7.875" style="13" customWidth="1"/>
    <col min="35" max="35" width="7.75" style="16" customWidth="1"/>
    <col min="36" max="36" width="7.625" style="13" customWidth="1"/>
    <col min="37" max="37" width="6.875" style="16" customWidth="1"/>
    <col min="38" max="38" width="8.125" style="13" customWidth="1"/>
    <col min="39" max="39" width="8.625" style="16" customWidth="1"/>
    <col min="40" max="40" width="7.375" style="13" customWidth="1"/>
    <col min="41" max="41" width="7.375" style="16" customWidth="1"/>
    <col min="42" max="42" width="7.625" style="13" customWidth="1"/>
    <col min="43" max="43" width="7.625" style="16" customWidth="1"/>
    <col min="44" max="44" width="6.125" style="1" customWidth="1"/>
    <col min="45" max="45" width="14.75" style="1" customWidth="1"/>
    <col min="46" max="46" width="14.375" style="1" customWidth="1"/>
    <col min="47" max="47" width="10.875" style="1" customWidth="1"/>
    <col min="48" max="16384" width="9" style="1"/>
  </cols>
  <sheetData>
    <row r="1" spans="1:47" x14ac:dyDescent="0.15">
      <c r="A1" s="1" t="s">
        <v>58</v>
      </c>
      <c r="B1" s="1" t="s">
        <v>56</v>
      </c>
      <c r="C1" s="1" t="s">
        <v>0</v>
      </c>
      <c r="D1" s="10" t="s">
        <v>31</v>
      </c>
      <c r="E1" s="1" t="s">
        <v>1</v>
      </c>
      <c r="F1" s="2" t="s">
        <v>63</v>
      </c>
      <c r="G1" s="1" t="s">
        <v>2</v>
      </c>
      <c r="H1" s="9" t="s">
        <v>3</v>
      </c>
      <c r="I1" s="1" t="s">
        <v>4</v>
      </c>
      <c r="J1" s="8" t="s">
        <v>5</v>
      </c>
      <c r="K1" s="1" t="s">
        <v>6</v>
      </c>
      <c r="L1" s="1" t="s">
        <v>7</v>
      </c>
      <c r="M1" s="1" t="s">
        <v>8</v>
      </c>
      <c r="N1" s="6" t="s">
        <v>9</v>
      </c>
      <c r="O1" s="1" t="s">
        <v>10</v>
      </c>
      <c r="P1" s="7" t="s">
        <v>11</v>
      </c>
      <c r="Q1" s="1" t="s">
        <v>12</v>
      </c>
      <c r="R1" s="1" t="s">
        <v>13</v>
      </c>
      <c r="S1" s="1" t="s">
        <v>14</v>
      </c>
      <c r="T1" s="1" t="s">
        <v>15</v>
      </c>
      <c r="U1" s="1" t="s">
        <v>16</v>
      </c>
      <c r="V1" s="1" t="s">
        <v>17</v>
      </c>
      <c r="W1" s="1" t="s">
        <v>18</v>
      </c>
      <c r="X1" s="1" t="s">
        <v>19</v>
      </c>
      <c r="Y1" s="1" t="s">
        <v>20</v>
      </c>
      <c r="Z1" s="1" t="s">
        <v>21</v>
      </c>
      <c r="AB1" s="11" t="s">
        <v>66</v>
      </c>
      <c r="AC1" s="14" t="s">
        <v>66</v>
      </c>
      <c r="AD1" s="11" t="s">
        <v>67</v>
      </c>
      <c r="AE1" s="14" t="s">
        <v>67</v>
      </c>
      <c r="AF1" s="11" t="s">
        <v>71</v>
      </c>
      <c r="AG1" s="14" t="s">
        <v>68</v>
      </c>
      <c r="AH1" s="11" t="s">
        <v>72</v>
      </c>
      <c r="AI1" s="14" t="s">
        <v>73</v>
      </c>
      <c r="AJ1" s="11" t="s">
        <v>69</v>
      </c>
      <c r="AK1" s="14" t="s">
        <v>69</v>
      </c>
      <c r="AL1" s="11" t="s">
        <v>74</v>
      </c>
      <c r="AM1" s="14" t="s">
        <v>70</v>
      </c>
      <c r="AN1" s="11" t="s">
        <v>75</v>
      </c>
      <c r="AO1" s="14" t="s">
        <v>75</v>
      </c>
      <c r="AP1" s="11" t="s">
        <v>76</v>
      </c>
      <c r="AQ1" s="14" t="s">
        <v>76</v>
      </c>
      <c r="AR1" s="3"/>
      <c r="AS1" s="2" t="s">
        <v>88</v>
      </c>
      <c r="AT1" s="2" t="s">
        <v>89</v>
      </c>
      <c r="AU1" s="2" t="s">
        <v>90</v>
      </c>
    </row>
    <row r="2" spans="1:47" x14ac:dyDescent="0.15">
      <c r="A2" s="1" t="s">
        <v>22</v>
      </c>
      <c r="B2" s="1" t="s">
        <v>22</v>
      </c>
      <c r="C2" s="1" t="s">
        <v>22</v>
      </c>
      <c r="D2" s="4" t="s">
        <v>23</v>
      </c>
      <c r="E2" s="1" t="s">
        <v>24</v>
      </c>
      <c r="F2" s="2" t="s">
        <v>64</v>
      </c>
      <c r="G2" s="1" t="s">
        <v>22</v>
      </c>
      <c r="H2" s="9" t="s">
        <v>24</v>
      </c>
      <c r="I2" s="1" t="s">
        <v>24</v>
      </c>
      <c r="J2" s="8" t="s">
        <v>24</v>
      </c>
      <c r="K2" s="1" t="s">
        <v>24</v>
      </c>
      <c r="L2" s="1" t="s">
        <v>24</v>
      </c>
      <c r="M2" s="1" t="s">
        <v>24</v>
      </c>
      <c r="N2" s="6" t="s">
        <v>24</v>
      </c>
      <c r="O2" s="1" t="s">
        <v>24</v>
      </c>
      <c r="P2" s="7" t="s">
        <v>24</v>
      </c>
      <c r="Q2" s="1" t="s">
        <v>24</v>
      </c>
      <c r="R2" s="1" t="s">
        <v>29</v>
      </c>
      <c r="S2" s="1" t="s">
        <v>29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B2" s="11" t="s">
        <v>77</v>
      </c>
      <c r="AC2" s="15" t="s">
        <v>42</v>
      </c>
      <c r="AD2" s="12" t="s">
        <v>41</v>
      </c>
      <c r="AE2" s="15" t="s">
        <v>42</v>
      </c>
      <c r="AF2" s="12" t="s">
        <v>41</v>
      </c>
      <c r="AG2" s="15" t="s">
        <v>42</v>
      </c>
      <c r="AH2" s="12" t="s">
        <v>42</v>
      </c>
      <c r="AI2" s="15" t="s">
        <v>42</v>
      </c>
      <c r="AJ2" s="13" t="s">
        <v>24</v>
      </c>
      <c r="AK2" s="15" t="s">
        <v>42</v>
      </c>
      <c r="AL2" s="13" t="s">
        <v>24</v>
      </c>
      <c r="AM2" s="15" t="s">
        <v>42</v>
      </c>
      <c r="AN2" s="13" t="s">
        <v>24</v>
      </c>
      <c r="AO2" s="15" t="s">
        <v>42</v>
      </c>
      <c r="AP2" s="13" t="s">
        <v>24</v>
      </c>
      <c r="AQ2" s="16" t="s">
        <v>24</v>
      </c>
      <c r="AS2" s="3" t="s">
        <v>53</v>
      </c>
      <c r="AT2" s="3" t="s">
        <v>54</v>
      </c>
      <c r="AU2" s="3" t="s">
        <v>54</v>
      </c>
    </row>
    <row r="3" spans="1:47" x14ac:dyDescent="0.15">
      <c r="A3" s="1" t="s">
        <v>59</v>
      </c>
      <c r="B3" s="1" t="s">
        <v>57</v>
      </c>
      <c r="C3" s="1" t="s">
        <v>25</v>
      </c>
      <c r="D3" s="5" t="s">
        <v>23</v>
      </c>
      <c r="E3" s="1" t="s">
        <v>26</v>
      </c>
      <c r="F3" s="2" t="s">
        <v>65</v>
      </c>
      <c r="G3" s="1" t="s">
        <v>27</v>
      </c>
      <c r="H3" s="9" t="s">
        <v>3</v>
      </c>
      <c r="I3" s="1" t="s">
        <v>4</v>
      </c>
      <c r="J3" s="8" t="s">
        <v>5</v>
      </c>
      <c r="K3" s="1" t="s">
        <v>6</v>
      </c>
      <c r="L3" s="1" t="s">
        <v>7</v>
      </c>
      <c r="M3" s="1" t="s">
        <v>8</v>
      </c>
      <c r="N3" s="6" t="s">
        <v>9</v>
      </c>
      <c r="O3" s="1" t="s">
        <v>10</v>
      </c>
      <c r="P3" s="7" t="s">
        <v>11</v>
      </c>
      <c r="Q3" s="1" t="s">
        <v>12</v>
      </c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 t="s">
        <v>18</v>
      </c>
      <c r="X3" s="1" t="s">
        <v>19</v>
      </c>
      <c r="Y3" s="1" t="s">
        <v>20</v>
      </c>
      <c r="Z3" s="1" t="s">
        <v>21</v>
      </c>
      <c r="AB3" s="11" t="s">
        <v>91</v>
      </c>
      <c r="AC3" s="14" t="s">
        <v>98</v>
      </c>
      <c r="AD3" s="11" t="s">
        <v>92</v>
      </c>
      <c r="AE3" s="14" t="s">
        <v>99</v>
      </c>
      <c r="AF3" s="11" t="s">
        <v>93</v>
      </c>
      <c r="AG3" s="14" t="s">
        <v>100</v>
      </c>
      <c r="AH3" s="11" t="s">
        <v>94</v>
      </c>
      <c r="AI3" s="14" t="s">
        <v>101</v>
      </c>
      <c r="AJ3" s="11" t="s">
        <v>105</v>
      </c>
      <c r="AK3" s="14" t="s">
        <v>106</v>
      </c>
      <c r="AL3" s="11" t="s">
        <v>95</v>
      </c>
      <c r="AM3" s="14" t="s">
        <v>102</v>
      </c>
      <c r="AN3" s="11" t="s">
        <v>96</v>
      </c>
      <c r="AO3" s="14" t="s">
        <v>103</v>
      </c>
      <c r="AP3" s="11" t="s">
        <v>97</v>
      </c>
      <c r="AQ3" s="14" t="s">
        <v>104</v>
      </c>
      <c r="AR3" s="3"/>
      <c r="AS3" s="2" t="s">
        <v>85</v>
      </c>
      <c r="AT3" s="2" t="s">
        <v>86</v>
      </c>
      <c r="AU3" s="2" t="s">
        <v>87</v>
      </c>
    </row>
    <row r="5" spans="1:47" x14ac:dyDescent="0.15">
      <c r="A5" s="3" t="s">
        <v>60</v>
      </c>
      <c r="B5" s="3" t="s">
        <v>30</v>
      </c>
      <c r="C5" s="3" t="s">
        <v>30</v>
      </c>
      <c r="D5" s="4" t="str">
        <f>IFERROR(CHOOSE(E5,"武器","头","胸","腿","鞋","戒指","道具","技能"),"NA")</f>
        <v>武器</v>
      </c>
      <c r="E5" s="2">
        <v>1</v>
      </c>
      <c r="F5" s="2" t="s">
        <v>80</v>
      </c>
      <c r="H5" s="9">
        <v>1</v>
      </c>
      <c r="I5" s="1">
        <v>1</v>
      </c>
      <c r="J5" s="8">
        <v>10</v>
      </c>
      <c r="K5" s="1">
        <v>8</v>
      </c>
      <c r="L5" s="1">
        <v>80</v>
      </c>
      <c r="M5" s="1">
        <v>100</v>
      </c>
      <c r="N5" s="6">
        <v>1</v>
      </c>
      <c r="O5" s="1">
        <v>1</v>
      </c>
      <c r="P5" s="7">
        <v>8</v>
      </c>
      <c r="Q5" s="1">
        <v>5</v>
      </c>
      <c r="R5" s="1">
        <v>250</v>
      </c>
      <c r="S5" s="1">
        <v>0.01</v>
      </c>
      <c r="T5" s="1">
        <v>0.5</v>
      </c>
      <c r="U5" s="1">
        <v>1</v>
      </c>
      <c r="V5" s="1">
        <v>0.2</v>
      </c>
      <c r="W5" s="1">
        <v>0.5</v>
      </c>
      <c r="X5" s="1">
        <v>1.2</v>
      </c>
      <c r="Y5" s="1">
        <v>1</v>
      </c>
      <c r="Z5" s="1">
        <v>1E-3</v>
      </c>
      <c r="AC5" s="16">
        <v>-2</v>
      </c>
      <c r="AE5" s="16">
        <v>-2</v>
      </c>
      <c r="AF5" s="13">
        <v>2</v>
      </c>
      <c r="AG5" s="16">
        <v>1</v>
      </c>
      <c r="AH5" s="13">
        <v>2</v>
      </c>
      <c r="AI5" s="16">
        <v>1</v>
      </c>
      <c r="AJ5" s="13">
        <v>2</v>
      </c>
      <c r="AK5" s="16">
        <v>1</v>
      </c>
      <c r="AL5" s="13">
        <v>2</v>
      </c>
      <c r="AM5" s="16">
        <v>1</v>
      </c>
      <c r="AN5" s="13">
        <v>2</v>
      </c>
      <c r="AO5" s="16">
        <v>1</v>
      </c>
      <c r="AP5" s="13">
        <v>2</v>
      </c>
      <c r="AQ5" s="16">
        <v>1</v>
      </c>
      <c r="AS5" s="2">
        <v>1</v>
      </c>
      <c r="AT5" s="2" t="s">
        <v>82</v>
      </c>
      <c r="AU5" s="3" t="s">
        <v>55</v>
      </c>
    </row>
    <row r="6" spans="1:47" x14ac:dyDescent="0.15">
      <c r="A6" s="2" t="s">
        <v>78</v>
      </c>
      <c r="B6" s="3" t="s">
        <v>79</v>
      </c>
      <c r="C6" s="3" t="s">
        <v>79</v>
      </c>
      <c r="D6" s="4" t="str">
        <f t="shared" ref="D6:D26" si="0">IFERROR(CHOOSE(E6,"武器","头","胸","腿","鞋","戒指","道具","技能"),"NA")</f>
        <v>武器</v>
      </c>
      <c r="E6" s="2">
        <v>1</v>
      </c>
      <c r="F6" s="2" t="s">
        <v>81</v>
      </c>
      <c r="H6" s="9">
        <v>7</v>
      </c>
      <c r="I6" s="1">
        <v>5</v>
      </c>
      <c r="J6" s="8">
        <v>1</v>
      </c>
      <c r="K6" s="1">
        <v>1</v>
      </c>
      <c r="L6" s="1">
        <v>95</v>
      </c>
      <c r="M6" s="1">
        <v>60</v>
      </c>
      <c r="N6" s="6">
        <v>6</v>
      </c>
      <c r="O6" s="1">
        <v>4</v>
      </c>
      <c r="P6" s="7">
        <v>1</v>
      </c>
      <c r="Q6" s="1">
        <v>1</v>
      </c>
      <c r="R6" s="1">
        <v>260</v>
      </c>
      <c r="S6" s="1">
        <v>0.01</v>
      </c>
      <c r="T6" s="1">
        <v>0.8</v>
      </c>
      <c r="U6" s="1">
        <v>0.4</v>
      </c>
      <c r="V6" s="1">
        <v>0.7</v>
      </c>
      <c r="W6" s="1">
        <v>0.8</v>
      </c>
      <c r="X6" s="1">
        <v>0.1</v>
      </c>
      <c r="Y6" s="1">
        <v>0.1</v>
      </c>
      <c r="Z6" s="1">
        <v>1E-3</v>
      </c>
      <c r="AS6" s="2">
        <v>42</v>
      </c>
      <c r="AT6" s="2" t="s">
        <v>83</v>
      </c>
      <c r="AU6" s="2" t="s">
        <v>84</v>
      </c>
    </row>
    <row r="7" spans="1:47" x14ac:dyDescent="0.15">
      <c r="D7" s="4" t="str">
        <f t="shared" si="0"/>
        <v>NA</v>
      </c>
    </row>
    <row r="8" spans="1:47" x14ac:dyDescent="0.15">
      <c r="B8" s="3" t="s">
        <v>50</v>
      </c>
      <c r="C8" s="3" t="s">
        <v>50</v>
      </c>
      <c r="D8" s="4"/>
      <c r="N8" s="6">
        <v>10</v>
      </c>
    </row>
    <row r="9" spans="1:47" x14ac:dyDescent="0.15">
      <c r="B9" s="3" t="s">
        <v>32</v>
      </c>
      <c r="C9" s="3" t="s">
        <v>32</v>
      </c>
      <c r="D9" s="4" t="str">
        <f t="shared" si="0"/>
        <v>NA</v>
      </c>
      <c r="N9" s="6">
        <v>20</v>
      </c>
      <c r="AB9" s="13">
        <v>3</v>
      </c>
    </row>
    <row r="10" spans="1:47" x14ac:dyDescent="0.15">
      <c r="B10" s="3" t="s">
        <v>48</v>
      </c>
      <c r="C10" s="3" t="s">
        <v>48</v>
      </c>
      <c r="D10" s="4" t="str">
        <f t="shared" si="0"/>
        <v>NA</v>
      </c>
      <c r="L10" s="1">
        <v>50</v>
      </c>
      <c r="N10" s="6">
        <v>10</v>
      </c>
      <c r="O10" s="1">
        <v>5</v>
      </c>
      <c r="Q10" s="1">
        <v>2</v>
      </c>
      <c r="R10" s="1">
        <v>0</v>
      </c>
      <c r="AO10" s="16">
        <v>-3</v>
      </c>
      <c r="AQ10" s="16">
        <v>3</v>
      </c>
    </row>
    <row r="11" spans="1:47" x14ac:dyDescent="0.15">
      <c r="B11" s="3" t="s">
        <v>33</v>
      </c>
      <c r="C11" s="3" t="s">
        <v>33</v>
      </c>
      <c r="D11" s="4" t="str">
        <f t="shared" si="0"/>
        <v>NA</v>
      </c>
      <c r="N11" s="6">
        <v>16</v>
      </c>
      <c r="AF11" s="13">
        <v>5</v>
      </c>
    </row>
    <row r="12" spans="1:47" x14ac:dyDescent="0.15">
      <c r="B12" s="3" t="s">
        <v>46</v>
      </c>
      <c r="C12" s="3" t="s">
        <v>46</v>
      </c>
      <c r="D12" s="4" t="str">
        <f t="shared" si="0"/>
        <v>NA</v>
      </c>
      <c r="L12" s="1">
        <v>60</v>
      </c>
      <c r="N12" s="6">
        <v>15</v>
      </c>
      <c r="O12" s="1">
        <v>5</v>
      </c>
      <c r="Q12" s="1">
        <v>8</v>
      </c>
      <c r="R12" s="1">
        <v>200</v>
      </c>
    </row>
    <row r="13" spans="1:47" x14ac:dyDescent="0.15">
      <c r="B13" s="3" t="s">
        <v>52</v>
      </c>
      <c r="C13" s="3" t="s">
        <v>52</v>
      </c>
      <c r="D13" s="4" t="str">
        <f t="shared" si="0"/>
        <v>NA</v>
      </c>
      <c r="L13" s="1">
        <v>25</v>
      </c>
      <c r="N13" s="6">
        <v>12</v>
      </c>
      <c r="R13" s="1">
        <v>90</v>
      </c>
      <c r="AC13" s="16">
        <v>2</v>
      </c>
      <c r="AE13" s="16">
        <v>2</v>
      </c>
      <c r="AG13" s="16">
        <v>-2</v>
      </c>
      <c r="AO13" s="16">
        <v>-5</v>
      </c>
      <c r="AP13" s="13">
        <v>2</v>
      </c>
      <c r="AQ13" s="16">
        <v>3</v>
      </c>
    </row>
    <row r="14" spans="1:47" x14ac:dyDescent="0.15">
      <c r="B14" s="3" t="s">
        <v>34</v>
      </c>
      <c r="C14" s="3" t="s">
        <v>34</v>
      </c>
      <c r="D14" s="4" t="str">
        <f t="shared" si="0"/>
        <v>NA</v>
      </c>
      <c r="L14" s="1">
        <v>900</v>
      </c>
      <c r="N14" s="6">
        <v>22</v>
      </c>
      <c r="O14" s="1">
        <v>19</v>
      </c>
      <c r="P14" s="7">
        <v>28</v>
      </c>
      <c r="Q14" s="1">
        <v>21</v>
      </c>
      <c r="R14" s="1">
        <v>300</v>
      </c>
      <c r="AK14" s="16">
        <v>6</v>
      </c>
      <c r="AO14" s="16">
        <v>-4</v>
      </c>
      <c r="AQ14" s="16">
        <v>4</v>
      </c>
    </row>
    <row r="15" spans="1:47" x14ac:dyDescent="0.15">
      <c r="B15" s="3" t="s">
        <v>47</v>
      </c>
      <c r="C15" s="3" t="s">
        <v>47</v>
      </c>
      <c r="D15" s="4" t="str">
        <f t="shared" si="0"/>
        <v>NA</v>
      </c>
      <c r="L15" s="1">
        <v>120</v>
      </c>
      <c r="N15" s="6">
        <v>20</v>
      </c>
      <c r="O15" s="1">
        <v>15</v>
      </c>
      <c r="Q15" s="1">
        <v>8</v>
      </c>
      <c r="R15" s="1">
        <v>80</v>
      </c>
      <c r="AC15" s="16">
        <v>4</v>
      </c>
      <c r="AE15" s="16">
        <v>-4</v>
      </c>
      <c r="AK15" s="16">
        <v>-4</v>
      </c>
    </row>
    <row r="16" spans="1:47" x14ac:dyDescent="0.15">
      <c r="B16" s="3" t="s">
        <v>62</v>
      </c>
      <c r="C16" s="3" t="s">
        <v>62</v>
      </c>
      <c r="D16" s="4" t="str">
        <f t="shared" si="0"/>
        <v>NA</v>
      </c>
      <c r="L16" s="1">
        <v>90</v>
      </c>
      <c r="N16" s="6">
        <v>5</v>
      </c>
      <c r="O16" s="1">
        <v>10</v>
      </c>
      <c r="Q16" s="1">
        <v>10</v>
      </c>
      <c r="R16" s="1">
        <v>0</v>
      </c>
      <c r="AE16" s="16">
        <v>-2</v>
      </c>
      <c r="AF16" s="13">
        <v>2</v>
      </c>
    </row>
    <row r="17" spans="2:43" x14ac:dyDescent="0.15">
      <c r="B17" s="3" t="s">
        <v>51</v>
      </c>
      <c r="C17" s="3" t="s">
        <v>51</v>
      </c>
      <c r="D17" s="4" t="str">
        <f t="shared" si="0"/>
        <v>NA</v>
      </c>
      <c r="L17" s="1">
        <v>80</v>
      </c>
      <c r="N17" s="6">
        <v>12</v>
      </c>
      <c r="O17" s="1">
        <v>8</v>
      </c>
      <c r="Q17" s="1">
        <v>5</v>
      </c>
      <c r="R17" s="1">
        <v>140</v>
      </c>
      <c r="AG17" s="16">
        <v>-2</v>
      </c>
      <c r="AI17" s="16">
        <v>2</v>
      </c>
      <c r="AK17" s="16">
        <v>-3</v>
      </c>
    </row>
    <row r="18" spans="2:43" x14ac:dyDescent="0.15">
      <c r="B18" s="3" t="s">
        <v>61</v>
      </c>
      <c r="C18" s="3" t="s">
        <v>61</v>
      </c>
      <c r="D18" s="4" t="str">
        <f t="shared" si="0"/>
        <v>NA</v>
      </c>
      <c r="L18" s="1">
        <v>150</v>
      </c>
      <c r="N18" s="6">
        <v>15</v>
      </c>
      <c r="O18" s="1">
        <v>18</v>
      </c>
      <c r="P18" s="7">
        <v>10</v>
      </c>
      <c r="Q18" s="1">
        <v>16</v>
      </c>
      <c r="R18" s="1">
        <v>0</v>
      </c>
      <c r="AC18" s="16">
        <v>2</v>
      </c>
      <c r="AE18" s="16">
        <v>2</v>
      </c>
      <c r="AF18" s="13">
        <v>3</v>
      </c>
      <c r="AI18" s="16">
        <v>-2</v>
      </c>
    </row>
    <row r="19" spans="2:43" x14ac:dyDescent="0.15">
      <c r="B19" s="3" t="s">
        <v>35</v>
      </c>
      <c r="C19" s="3" t="s">
        <v>35</v>
      </c>
      <c r="D19" s="4" t="str">
        <f t="shared" si="0"/>
        <v>NA</v>
      </c>
      <c r="N19" s="6">
        <v>20</v>
      </c>
    </row>
    <row r="20" spans="2:43" x14ac:dyDescent="0.15">
      <c r="B20" s="3" t="s">
        <v>36</v>
      </c>
      <c r="C20" s="3" t="s">
        <v>36</v>
      </c>
      <c r="D20" s="4" t="str">
        <f t="shared" si="0"/>
        <v>NA</v>
      </c>
      <c r="N20" s="6">
        <v>20</v>
      </c>
      <c r="AB20" s="13">
        <v>3</v>
      </c>
    </row>
    <row r="21" spans="2:43" x14ac:dyDescent="0.15">
      <c r="B21" s="3" t="s">
        <v>37</v>
      </c>
      <c r="C21" s="3" t="s">
        <v>37</v>
      </c>
      <c r="D21" s="4" t="str">
        <f t="shared" si="0"/>
        <v>NA</v>
      </c>
      <c r="L21" s="1">
        <v>50</v>
      </c>
      <c r="N21" s="6">
        <v>10</v>
      </c>
      <c r="O21" s="1">
        <v>4</v>
      </c>
      <c r="Q21" s="1">
        <v>1</v>
      </c>
      <c r="R21" s="1">
        <v>140</v>
      </c>
      <c r="AC21" s="16">
        <v>2</v>
      </c>
      <c r="AE21" s="16">
        <v>-1</v>
      </c>
      <c r="AG21" s="16">
        <v>-2</v>
      </c>
      <c r="AO21" s="16">
        <v>-4</v>
      </c>
      <c r="AQ21" s="16">
        <v>3</v>
      </c>
    </row>
    <row r="22" spans="2:43" x14ac:dyDescent="0.15">
      <c r="B22" s="3" t="s">
        <v>44</v>
      </c>
      <c r="C22" s="3" t="s">
        <v>44</v>
      </c>
      <c r="D22" s="4" t="str">
        <f t="shared" si="0"/>
        <v>NA</v>
      </c>
      <c r="L22" s="1">
        <v>40</v>
      </c>
      <c r="N22" s="6">
        <v>15</v>
      </c>
      <c r="O22" s="1">
        <v>2</v>
      </c>
      <c r="Q22" s="1">
        <v>1</v>
      </c>
      <c r="R22" s="1">
        <v>130</v>
      </c>
      <c r="AE22" s="16">
        <v>-2</v>
      </c>
      <c r="AG22" s="16">
        <v>-2</v>
      </c>
      <c r="AO22" s="16">
        <v>-4</v>
      </c>
      <c r="AQ22" s="16">
        <v>3</v>
      </c>
    </row>
    <row r="23" spans="2:43" x14ac:dyDescent="0.15">
      <c r="B23" s="3" t="s">
        <v>49</v>
      </c>
      <c r="C23" s="3" t="s">
        <v>49</v>
      </c>
      <c r="D23" s="4" t="str">
        <f t="shared" si="0"/>
        <v>NA</v>
      </c>
      <c r="L23" s="1">
        <v>35</v>
      </c>
      <c r="N23" s="6">
        <v>5</v>
      </c>
      <c r="O23" s="1">
        <v>1</v>
      </c>
      <c r="P23" s="7">
        <v>15</v>
      </c>
      <c r="Q23" s="1">
        <v>5</v>
      </c>
      <c r="R23" s="1">
        <v>120</v>
      </c>
      <c r="AE23" s="16">
        <v>-3</v>
      </c>
      <c r="AG23" s="16">
        <v>2</v>
      </c>
      <c r="AI23" s="16">
        <v>3</v>
      </c>
      <c r="AJ23" s="13">
        <v>2</v>
      </c>
      <c r="AK23" s="16">
        <v>5</v>
      </c>
      <c r="AM23" s="16">
        <v>3</v>
      </c>
      <c r="AO23" s="16">
        <v>-2</v>
      </c>
      <c r="AQ23" s="16">
        <v>4</v>
      </c>
    </row>
    <row r="24" spans="2:43" x14ac:dyDescent="0.15">
      <c r="B24" s="3" t="s">
        <v>38</v>
      </c>
      <c r="C24" s="3" t="s">
        <v>38</v>
      </c>
      <c r="D24" s="4" t="str">
        <f t="shared" si="0"/>
        <v>NA</v>
      </c>
      <c r="L24" s="1">
        <v>25</v>
      </c>
      <c r="N24" s="6">
        <v>5</v>
      </c>
      <c r="O24" s="1">
        <v>3</v>
      </c>
      <c r="Q24" s="1">
        <v>3</v>
      </c>
      <c r="R24" s="1">
        <v>50</v>
      </c>
      <c r="AC24" s="16">
        <v>3</v>
      </c>
      <c r="AE24" s="16">
        <v>4</v>
      </c>
      <c r="AG24" s="16">
        <v>-4</v>
      </c>
    </row>
    <row r="25" spans="2:43" x14ac:dyDescent="0.15">
      <c r="B25" s="3" t="s">
        <v>39</v>
      </c>
      <c r="C25" s="3" t="s">
        <v>39</v>
      </c>
      <c r="D25" s="4" t="str">
        <f t="shared" si="0"/>
        <v>NA</v>
      </c>
      <c r="N25" s="6">
        <v>20</v>
      </c>
    </row>
    <row r="26" spans="2:43" x14ac:dyDescent="0.15">
      <c r="B26" s="3" t="s">
        <v>40</v>
      </c>
      <c r="C26" s="3" t="s">
        <v>40</v>
      </c>
      <c r="D26" s="4" t="str">
        <f t="shared" si="0"/>
        <v>NA</v>
      </c>
      <c r="N26" s="6">
        <v>20</v>
      </c>
    </row>
    <row r="27" spans="2:43" x14ac:dyDescent="0.15">
      <c r="B27" s="1" t="s">
        <v>43</v>
      </c>
      <c r="C27" s="3" t="s">
        <v>43</v>
      </c>
      <c r="D27" s="4" t="str">
        <f t="shared" ref="D27:D85" si="1">IFERROR(CHOOSE(E27,"武器","头","胸","腿","鞋","戒指","道具","技能"),"NA")</f>
        <v>NA</v>
      </c>
      <c r="L27" s="1">
        <v>15</v>
      </c>
      <c r="N27" s="6">
        <v>10</v>
      </c>
      <c r="R27" s="1">
        <v>70</v>
      </c>
      <c r="AC27" s="16">
        <v>2</v>
      </c>
      <c r="AE27" s="16">
        <v>2</v>
      </c>
      <c r="AO27" s="16">
        <v>-2</v>
      </c>
      <c r="AQ27" s="16">
        <v>2</v>
      </c>
    </row>
    <row r="28" spans="2:43" x14ac:dyDescent="0.15">
      <c r="B28" s="1" t="s">
        <v>45</v>
      </c>
      <c r="C28" s="1" t="s">
        <v>45</v>
      </c>
      <c r="D28" s="4" t="str">
        <f t="shared" si="1"/>
        <v>NA</v>
      </c>
      <c r="L28" s="1">
        <v>45</v>
      </c>
      <c r="N28" s="6">
        <v>10</v>
      </c>
      <c r="O28" s="1">
        <v>3</v>
      </c>
      <c r="Q28" s="1">
        <v>2</v>
      </c>
      <c r="R28" s="1">
        <v>70</v>
      </c>
      <c r="AG28" s="16">
        <v>-4</v>
      </c>
      <c r="AO28" s="16">
        <v>-5</v>
      </c>
      <c r="AQ28" s="16">
        <v>2</v>
      </c>
    </row>
    <row r="29" spans="2:43" x14ac:dyDescent="0.15">
      <c r="D29" s="4" t="str">
        <f t="shared" si="1"/>
        <v>NA</v>
      </c>
    </row>
    <row r="30" spans="2:43" x14ac:dyDescent="0.15">
      <c r="D30" s="4" t="str">
        <f t="shared" si="1"/>
        <v>NA</v>
      </c>
    </row>
    <row r="31" spans="2:43" x14ac:dyDescent="0.15">
      <c r="D31" s="4" t="str">
        <f t="shared" si="1"/>
        <v>NA</v>
      </c>
    </row>
    <row r="32" spans="2:43" x14ac:dyDescent="0.15">
      <c r="D32" s="4" t="str">
        <f t="shared" si="1"/>
        <v>NA</v>
      </c>
    </row>
    <row r="33" spans="4:4" x14ac:dyDescent="0.15">
      <c r="D33" s="4" t="str">
        <f t="shared" si="1"/>
        <v>NA</v>
      </c>
    </row>
    <row r="34" spans="4:4" x14ac:dyDescent="0.15">
      <c r="D34" s="4" t="str">
        <f t="shared" si="1"/>
        <v>NA</v>
      </c>
    </row>
    <row r="35" spans="4:4" x14ac:dyDescent="0.15">
      <c r="D35" s="4" t="str">
        <f t="shared" si="1"/>
        <v>NA</v>
      </c>
    </row>
    <row r="36" spans="4:4" x14ac:dyDescent="0.15">
      <c r="D36" s="4" t="str">
        <f t="shared" si="1"/>
        <v>NA</v>
      </c>
    </row>
    <row r="37" spans="4:4" x14ac:dyDescent="0.15">
      <c r="D37" s="4" t="str">
        <f t="shared" si="1"/>
        <v>NA</v>
      </c>
    </row>
    <row r="38" spans="4:4" x14ac:dyDescent="0.15">
      <c r="D38" s="4" t="str">
        <f t="shared" si="1"/>
        <v>NA</v>
      </c>
    </row>
    <row r="39" spans="4:4" x14ac:dyDescent="0.15">
      <c r="D39" s="4" t="str">
        <f t="shared" si="1"/>
        <v>NA</v>
      </c>
    </row>
    <row r="40" spans="4:4" x14ac:dyDescent="0.15">
      <c r="D40" s="4" t="str">
        <f t="shared" si="1"/>
        <v>NA</v>
      </c>
    </row>
    <row r="41" spans="4:4" x14ac:dyDescent="0.15">
      <c r="D41" s="4" t="str">
        <f t="shared" si="1"/>
        <v>NA</v>
      </c>
    </row>
    <row r="42" spans="4:4" x14ac:dyDescent="0.15">
      <c r="D42" s="4" t="str">
        <f t="shared" si="1"/>
        <v>NA</v>
      </c>
    </row>
    <row r="43" spans="4:4" x14ac:dyDescent="0.15">
      <c r="D43" s="4" t="str">
        <f t="shared" si="1"/>
        <v>NA</v>
      </c>
    </row>
    <row r="44" spans="4:4" x14ac:dyDescent="0.15">
      <c r="D44" s="4" t="str">
        <f t="shared" si="1"/>
        <v>NA</v>
      </c>
    </row>
    <row r="45" spans="4:4" x14ac:dyDescent="0.15">
      <c r="D45" s="4" t="str">
        <f t="shared" si="1"/>
        <v>NA</v>
      </c>
    </row>
    <row r="46" spans="4:4" x14ac:dyDescent="0.15">
      <c r="D46" s="4" t="str">
        <f t="shared" si="1"/>
        <v>NA</v>
      </c>
    </row>
    <row r="47" spans="4:4" x14ac:dyDescent="0.15">
      <c r="D47" s="4" t="str">
        <f t="shared" si="1"/>
        <v>NA</v>
      </c>
    </row>
    <row r="48" spans="4:4" x14ac:dyDescent="0.15">
      <c r="D48" s="4" t="str">
        <f t="shared" si="1"/>
        <v>NA</v>
      </c>
    </row>
    <row r="49" spans="4:4" x14ac:dyDescent="0.15">
      <c r="D49" s="4" t="str">
        <f t="shared" si="1"/>
        <v>NA</v>
      </c>
    </row>
    <row r="50" spans="4:4" x14ac:dyDescent="0.15">
      <c r="D50" s="4" t="str">
        <f t="shared" si="1"/>
        <v>NA</v>
      </c>
    </row>
    <row r="51" spans="4:4" x14ac:dyDescent="0.15">
      <c r="D51" s="4" t="str">
        <f t="shared" si="1"/>
        <v>NA</v>
      </c>
    </row>
    <row r="52" spans="4:4" x14ac:dyDescent="0.15">
      <c r="D52" s="4" t="str">
        <f t="shared" si="1"/>
        <v>NA</v>
      </c>
    </row>
    <row r="53" spans="4:4" x14ac:dyDescent="0.15">
      <c r="D53" s="4" t="str">
        <f t="shared" si="1"/>
        <v>NA</v>
      </c>
    </row>
    <row r="54" spans="4:4" x14ac:dyDescent="0.15">
      <c r="D54" s="4" t="str">
        <f t="shared" si="1"/>
        <v>NA</v>
      </c>
    </row>
    <row r="55" spans="4:4" x14ac:dyDescent="0.15">
      <c r="D55" s="4" t="str">
        <f t="shared" si="1"/>
        <v>NA</v>
      </c>
    </row>
    <row r="56" spans="4:4" x14ac:dyDescent="0.15">
      <c r="D56" s="4" t="str">
        <f t="shared" si="1"/>
        <v>NA</v>
      </c>
    </row>
    <row r="57" spans="4:4" x14ac:dyDescent="0.15">
      <c r="D57" s="4" t="str">
        <f t="shared" si="1"/>
        <v>NA</v>
      </c>
    </row>
    <row r="58" spans="4:4" x14ac:dyDescent="0.15">
      <c r="D58" s="4" t="str">
        <f t="shared" si="1"/>
        <v>NA</v>
      </c>
    </row>
    <row r="59" spans="4:4" x14ac:dyDescent="0.15">
      <c r="D59" s="4" t="str">
        <f t="shared" si="1"/>
        <v>NA</v>
      </c>
    </row>
    <row r="60" spans="4:4" x14ac:dyDescent="0.15">
      <c r="D60" s="4" t="str">
        <f t="shared" si="1"/>
        <v>NA</v>
      </c>
    </row>
    <row r="61" spans="4:4" x14ac:dyDescent="0.15">
      <c r="D61" s="4" t="str">
        <f t="shared" si="1"/>
        <v>NA</v>
      </c>
    </row>
    <row r="62" spans="4:4" x14ac:dyDescent="0.15">
      <c r="D62" s="4" t="str">
        <f t="shared" si="1"/>
        <v>NA</v>
      </c>
    </row>
    <row r="63" spans="4:4" x14ac:dyDescent="0.15">
      <c r="D63" s="4" t="str">
        <f t="shared" si="1"/>
        <v>NA</v>
      </c>
    </row>
    <row r="64" spans="4:4" x14ac:dyDescent="0.15">
      <c r="D64" s="4" t="str">
        <f t="shared" si="1"/>
        <v>NA</v>
      </c>
    </row>
    <row r="65" spans="4:4" x14ac:dyDescent="0.15">
      <c r="D65" s="4" t="str">
        <f t="shared" si="1"/>
        <v>NA</v>
      </c>
    </row>
    <row r="66" spans="4:4" x14ac:dyDescent="0.15">
      <c r="D66" s="4" t="str">
        <f t="shared" si="1"/>
        <v>NA</v>
      </c>
    </row>
    <row r="67" spans="4:4" x14ac:dyDescent="0.15">
      <c r="D67" s="4" t="str">
        <f t="shared" si="1"/>
        <v>NA</v>
      </c>
    </row>
    <row r="68" spans="4:4" x14ac:dyDescent="0.15">
      <c r="D68" s="4" t="str">
        <f t="shared" si="1"/>
        <v>NA</v>
      </c>
    </row>
    <row r="69" spans="4:4" x14ac:dyDescent="0.15">
      <c r="D69" s="4" t="str">
        <f t="shared" si="1"/>
        <v>NA</v>
      </c>
    </row>
    <row r="70" spans="4:4" x14ac:dyDescent="0.15">
      <c r="D70" s="4" t="str">
        <f t="shared" si="1"/>
        <v>NA</v>
      </c>
    </row>
    <row r="71" spans="4:4" x14ac:dyDescent="0.15">
      <c r="D71" s="4" t="str">
        <f t="shared" si="1"/>
        <v>NA</v>
      </c>
    </row>
    <row r="72" spans="4:4" x14ac:dyDescent="0.15">
      <c r="D72" s="4" t="str">
        <f t="shared" si="1"/>
        <v>NA</v>
      </c>
    </row>
    <row r="73" spans="4:4" x14ac:dyDescent="0.15">
      <c r="D73" s="4" t="str">
        <f t="shared" si="1"/>
        <v>NA</v>
      </c>
    </row>
    <row r="74" spans="4:4" x14ac:dyDescent="0.15">
      <c r="D74" s="4" t="str">
        <f t="shared" si="1"/>
        <v>NA</v>
      </c>
    </row>
    <row r="75" spans="4:4" x14ac:dyDescent="0.15">
      <c r="D75" s="4" t="str">
        <f t="shared" si="1"/>
        <v>NA</v>
      </c>
    </row>
    <row r="76" spans="4:4" x14ac:dyDescent="0.15">
      <c r="D76" s="4" t="str">
        <f t="shared" si="1"/>
        <v>NA</v>
      </c>
    </row>
    <row r="77" spans="4:4" x14ac:dyDescent="0.15">
      <c r="D77" s="4" t="str">
        <f t="shared" si="1"/>
        <v>NA</v>
      </c>
    </row>
    <row r="78" spans="4:4" x14ac:dyDescent="0.15">
      <c r="D78" s="4" t="str">
        <f t="shared" si="1"/>
        <v>NA</v>
      </c>
    </row>
    <row r="79" spans="4:4" x14ac:dyDescent="0.15">
      <c r="D79" s="4" t="str">
        <f t="shared" si="1"/>
        <v>NA</v>
      </c>
    </row>
    <row r="80" spans="4:4" x14ac:dyDescent="0.15">
      <c r="D80" s="4" t="str">
        <f t="shared" si="1"/>
        <v>NA</v>
      </c>
    </row>
    <row r="81" spans="4:4" x14ac:dyDescent="0.15">
      <c r="D81" s="4" t="str">
        <f t="shared" si="1"/>
        <v>NA</v>
      </c>
    </row>
    <row r="82" spans="4:4" x14ac:dyDescent="0.15">
      <c r="D82" s="4" t="str">
        <f t="shared" si="1"/>
        <v>NA</v>
      </c>
    </row>
    <row r="83" spans="4:4" x14ac:dyDescent="0.15">
      <c r="D83" s="4" t="str">
        <f t="shared" si="1"/>
        <v>NA</v>
      </c>
    </row>
    <row r="84" spans="4:4" x14ac:dyDescent="0.15">
      <c r="D84" s="4" t="str">
        <f t="shared" si="1"/>
        <v>NA</v>
      </c>
    </row>
    <row r="85" spans="4:4" x14ac:dyDescent="0.15">
      <c r="D85" s="4" t="str">
        <f t="shared" si="1"/>
        <v>NA</v>
      </c>
    </row>
  </sheetData>
  <phoneticPr fontId="2" type="noConversion"/>
  <conditionalFormatting sqref="B4:B1048576">
    <cfRule type="duplicateValues" dxfId="3" priority="5"/>
  </conditionalFormatting>
  <conditionalFormatting sqref="C13">
    <cfRule type="duplicateValues" dxfId="2" priority="3"/>
  </conditionalFormatting>
  <conditionalFormatting sqref="A7:A1048576 A4">
    <cfRule type="duplicateValues" dxfId="1" priority="2"/>
  </conditionalFormatting>
  <conditionalFormatting sqref="A5:A6">
    <cfRule type="duplicateValues" dxfId="0" priority="1"/>
  </conditionalFormatting>
  <pageMargins left="0.69930555555555596" right="0.69930555555555596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Sephiroth</dc:creator>
  <cp:lastModifiedBy>Sephiroth</cp:lastModifiedBy>
  <dcterms:created xsi:type="dcterms:W3CDTF">2015-11-11T06:24:00Z</dcterms:created>
  <dcterms:modified xsi:type="dcterms:W3CDTF">2017-09-16T10:01:18Z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2052-10.1.0.5345</vt:lpwstr>
  </property>
</Properties>
</file>